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ackup Data\BINUS\S2\Semester 2 Periode 1\Deep Learning\AoL 1\Experiment\Final\"/>
    </mc:Choice>
  </mc:AlternateContent>
  <xr:revisionPtr revIDLastSave="0" documentId="13_ncr:1_{C683B6EB-9213-4290-815B-A765F97EBB48}" xr6:coauthVersionLast="47" xr6:coauthVersionMax="47" xr10:uidLastSave="{00000000-0000-0000-0000-000000000000}"/>
  <bookViews>
    <workbookView xWindow="-108" yWindow="-108" windowWidth="23256" windowHeight="12456" activeTab="1" xr2:uid="{5F828EB6-8A35-4289-BBF9-CD3CB8E6D4C2}"/>
  </bookViews>
  <sheets>
    <sheet name="Ga Valid Leakage" sheetId="1" r:id="rId1"/>
    <sheet name="Final All Experiments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3" l="1"/>
  <c r="K23" i="3"/>
  <c r="K6" i="3"/>
  <c r="K7" i="3"/>
  <c r="K8" i="3"/>
  <c r="K9" i="3"/>
  <c r="K11" i="3"/>
  <c r="K12" i="3"/>
  <c r="K13" i="3"/>
  <c r="K16" i="3"/>
  <c r="K17" i="3"/>
  <c r="K15" i="3"/>
  <c r="L11" i="3"/>
  <c r="L12" i="3"/>
  <c r="L7" i="3"/>
  <c r="L8" i="3"/>
  <c r="L9" i="3"/>
  <c r="L6" i="3"/>
  <c r="K34" i="1"/>
  <c r="K35" i="1"/>
  <c r="K36" i="1"/>
  <c r="K37" i="1"/>
  <c r="K31" i="1"/>
  <c r="K32" i="1"/>
  <c r="K33" i="1"/>
  <c r="K30" i="1"/>
  <c r="K19" i="1"/>
  <c r="K20" i="1"/>
  <c r="K21" i="1"/>
  <c r="K22" i="1"/>
  <c r="K23" i="1"/>
  <c r="K24" i="1"/>
  <c r="K25" i="1"/>
</calcChain>
</file>

<file path=xl/sharedStrings.xml><?xml version="1.0" encoding="utf-8"?>
<sst xmlns="http://schemas.openxmlformats.org/spreadsheetml/2006/main" count="260" uniqueCount="164">
  <si>
    <t>DETECTION</t>
  </si>
  <si>
    <t>YOLOv8</t>
  </si>
  <si>
    <t>Validation</t>
  </si>
  <si>
    <t>Test</t>
  </si>
  <si>
    <t>Recall</t>
  </si>
  <si>
    <t>Precision</t>
  </si>
  <si>
    <t>mAP50</t>
  </si>
  <si>
    <t>mAP50-95</t>
  </si>
  <si>
    <t>YOLO11</t>
  </si>
  <si>
    <t>0.8887</t>
  </si>
  <si>
    <t>0.9284</t>
  </si>
  <si>
    <t>0.8866</t>
  </si>
  <si>
    <t>0.7411</t>
  </si>
  <si>
    <t>0.8986</t>
  </si>
  <si>
    <t>0.9224</t>
  </si>
  <si>
    <t>0.9422</t>
  </si>
  <si>
    <t>0.7486</t>
  </si>
  <si>
    <t>0.9039</t>
  </si>
  <si>
    <t>0.8719</t>
  </si>
  <si>
    <t>0.9335</t>
  </si>
  <si>
    <t>0.7379</t>
  </si>
  <si>
    <t>0.9265</t>
  </si>
  <si>
    <t>0.8964</t>
  </si>
  <si>
    <t>0.9454</t>
  </si>
  <si>
    <t>0.7470</t>
  </si>
  <si>
    <t>YOLO11+CBAM (P3+P4+P5)</t>
  </si>
  <si>
    <t>0.9468</t>
  </si>
  <si>
    <t>0.7211</t>
  </si>
  <si>
    <t>0.8902</t>
  </si>
  <si>
    <t>0.9197</t>
  </si>
  <si>
    <t>0.9304</t>
  </si>
  <si>
    <t>0.7231</t>
  </si>
  <si>
    <t>0.8599</t>
  </si>
  <si>
    <t>0.9319</t>
  </si>
  <si>
    <t>YOLO11+CBAM(P4)</t>
  </si>
  <si>
    <t>0.9486</t>
  </si>
  <si>
    <t>0.7267</t>
  </si>
  <si>
    <t>0.8931</t>
  </si>
  <si>
    <t>0.9128</t>
  </si>
  <si>
    <t>0.9323</t>
  </si>
  <si>
    <t>0.7318</t>
  </si>
  <si>
    <t>0.8739</t>
  </si>
  <si>
    <t>0.9217</t>
  </si>
  <si>
    <t>YOLO11+CBAM(P3)</t>
  </si>
  <si>
    <t>{'val_map50': np.float64(0.9382689207333705), 'val_map50_95': np.float64(0.7254963511236567), 'val_precision': np.float64(0.8881953743111717), 'val_recall': np.float64(0.9104401228249743), 'test_map50': np.float64(0.9247963816214487), 'test_map50_95': np.float64(0.7339572590682463), 'test_precision': np.float64(0.8798800105317375), 'test_recall': np.float64(0.9113957326495465)}</t>
  </si>
  <si>
    <t>Model</t>
  </si>
  <si>
    <t>{'val_map50': np.float64(0.945063708705276), 'val_map50_95': np.float64(0.7315733514815074), 'val_precision': np.float64(0.8999420866078416), 'val_recall': np.float64(0.906345957011259), 'test_map50': np.float64(0.9360145691707213), 'test_map50_95': np.float64(0.7334220268416007), 'test_precision': np.float64(0.8817388008928226), 'test_recall': np.float64(0.9285765168884135)}</t>
  </si>
  <si>
    <t>YOLO11+SE</t>
  </si>
  <si>
    <t>0.9383</t>
  </si>
  <si>
    <t>{'val_map50': np.float64(0.9504987666302629), 'val_map50_95': np.float64(0.7445948891673326), 'val_precision': np.float64(0.9103452802611235), 'val_recall': np.float64(0.9022517911975435), 'test_map50': np.float64(0.933760199216946), 'test_map50_95': np.float64(0.742483568514574), 'test_precision': np.float64(0.898600033486617), 'test_recall': np.float64(0.896305085997122)}</t>
  </si>
  <si>
    <t>0.9183</t>
  </si>
  <si>
    <t>0.8453</t>
  </si>
  <si>
    <t>0.9282</t>
  </si>
  <si>
    <t>0.6499</t>
  </si>
  <si>
    <t>0.8603</t>
  </si>
  <si>
    <t>0.9058</t>
  </si>
  <si>
    <t>0.9240</t>
  </si>
  <si>
    <t>0.6712</t>
  </si>
  <si>
    <t>YOLO11s_Baseline (LR:0.001+cls:1.0)</t>
  </si>
  <si>
    <t>YOLO11s_LR:0.0001</t>
  </si>
  <si>
    <t>YOLO11s_LR:0.0005</t>
  </si>
  <si>
    <t>0.8864 0.8918 0.9316 0.6577 0.8870 0.8873 0.9416 0.6811</t>
  </si>
  <si>
    <t>0.9183 0.8453 0.9282 0.6499 0.8603 0.9058 0.9240 0.6712</t>
  </si>
  <si>
    <t>0.8864</t>
  </si>
  <si>
    <t>0.8918</t>
  </si>
  <si>
    <t>0.9316</t>
  </si>
  <si>
    <t xml:space="preserve"> 0.6577</t>
  </si>
  <si>
    <t xml:space="preserve">0.8870 </t>
  </si>
  <si>
    <t>0.8873</t>
  </si>
  <si>
    <t>0.9416</t>
  </si>
  <si>
    <t>0.6811</t>
  </si>
  <si>
    <t>0.9047 0.8730 0.9252 0.6531 0.8898 0.8976 0.9401 0.6775</t>
  </si>
  <si>
    <t>0.9047</t>
  </si>
  <si>
    <t>0.8730</t>
  </si>
  <si>
    <t>0.9252</t>
  </si>
  <si>
    <t>0.6531</t>
  </si>
  <si>
    <t>0.8898</t>
  </si>
  <si>
    <t>0.8976</t>
  </si>
  <si>
    <t>0.9410</t>
  </si>
  <si>
    <t>0.6775</t>
  </si>
  <si>
    <t>LR TUNING</t>
  </si>
  <si>
    <t>LR</t>
  </si>
  <si>
    <t>0.001</t>
  </si>
  <si>
    <t>0.0005</t>
  </si>
  <si>
    <t>0.6577</t>
  </si>
  <si>
    <t>0.0001</t>
  </si>
  <si>
    <t>YOLO11s_CLS_2.0 0.8696 0.8910 0.9262 0.6530 0.9022 0.8583 0.9231 0.6771</t>
  </si>
  <si>
    <t>CLS</t>
  </si>
  <si>
    <t>1.0</t>
  </si>
  <si>
    <t>2.0</t>
  </si>
  <si>
    <t>0.8910</t>
  </si>
  <si>
    <t>3.0</t>
  </si>
  <si>
    <t>0.9277</t>
  </si>
  <si>
    <t>0.6530</t>
  </si>
  <si>
    <t>0.6446</t>
  </si>
  <si>
    <t>0.9262</t>
  </si>
  <si>
    <t>0.8696</t>
  </si>
  <si>
    <t>0.8907</t>
  </si>
  <si>
    <t>0.8727</t>
  </si>
  <si>
    <t>YOLO11s_CLS_3.0 0.8907 0.8727 0.9277 0.6446 0.8832 0.9179 0.9339 0.6750</t>
  </si>
  <si>
    <t>CLS TUNING</t>
  </si>
  <si>
    <t>YOLOv8s 0.8827 0.8744 0.9260 0.6543 0.8785 0.9070 0.9396 0.6767</t>
  </si>
  <si>
    <t>YOLO11s_CLS_2.0</t>
  </si>
  <si>
    <t>YOLO11s_CLS_3.0</t>
  </si>
  <si>
    <t>0.8827</t>
  </si>
  <si>
    <t>0.8744</t>
  </si>
  <si>
    <t>0.9260</t>
  </si>
  <si>
    <t>0.6543</t>
  </si>
  <si>
    <t>0.8775</t>
  </si>
  <si>
    <t>0.9070</t>
  </si>
  <si>
    <t>0.9396</t>
  </si>
  <si>
    <t>0.6767</t>
  </si>
  <si>
    <t>0.9022</t>
  </si>
  <si>
    <t>0.8583</t>
  </si>
  <si>
    <t>0.9231</t>
  </si>
  <si>
    <t>0.6771</t>
  </si>
  <si>
    <t>0.8832</t>
  </si>
  <si>
    <t>0.9179</t>
  </si>
  <si>
    <t>0.9339</t>
  </si>
  <si>
    <t>0.6750</t>
  </si>
  <si>
    <t>YOLOv8s_Tuned(LR:0.0005+cls:1.0)</t>
  </si>
  <si>
    <t>YOLO11s_CBAM_AP3        0.9148  0.8423  0.9198  0.6310  0.9438  0.8034  0.9248  0.6543</t>
  </si>
  <si>
    <t>CBAM</t>
  </si>
  <si>
    <t>0.9148</t>
  </si>
  <si>
    <t>0.8423</t>
  </si>
  <si>
    <t>YOLO11s_CBAM_AP3</t>
  </si>
  <si>
    <t>YOLO11s_CBAM_AP4        0.9010  0.8584  0.9239  0.6383  0.8961  0.8551  0.9284  0.6625</t>
  </si>
  <si>
    <t>YOLO11s_SE_1                       0.8659 0.8912 0.9212 0.6333 0.8635 0.8793 0.9264 0.6594</t>
  </si>
  <si>
    <t>0.6241</t>
  </si>
  <si>
    <t xml:space="preserve"> 0.9035 </t>
  </si>
  <si>
    <t>0.8304</t>
  </si>
  <si>
    <t>0.9110</t>
  </si>
  <si>
    <t>YOLO11s_LR:0.00001</t>
  </si>
  <si>
    <t>YOLO11s_LR_0.00001 0.9110 0.8304 0.9035 0.6241</t>
  </si>
  <si>
    <t>0.6586</t>
  </si>
  <si>
    <t>0.9314</t>
  </si>
  <si>
    <t>0.9013</t>
  </si>
  <si>
    <t>0.8813</t>
  </si>
  <si>
    <t>YOLO11s_Pre_Process_1 0.7337 0.7975 0.8336 0.5205 0.7534 0.7999 0.8761 0.5556</t>
  </si>
  <si>
    <t>YOLO11s_CLAHE 0.9069 0.8473 0.9270 0.6487 0.9120 0.8806 0.9346 0.6741</t>
  </si>
  <si>
    <t>YOLO11s_Baseline (LR:0.001)</t>
  </si>
  <si>
    <t>YOLO11s_LR_0.001 0.8885 0.8820 0.9285 0.6161 0.8379 0.8909 0.9158 0.6205</t>
  </si>
  <si>
    <t>YOLO11s_LR_0.0005 0.8575 0.8921 0.9233 0.6201 0.8853 0.8284 0.9106 0.6365</t>
  </si>
  <si>
    <t>YOLO11s_LR_0.0001 0.9289 0.8566 0.9221 0.6311 0.8774 0.8650 0.9136 0.6555</t>
  </si>
  <si>
    <t>YOLO11s_LR_0.00001 0.9062 0.8630 0.9221 0.6344 0.9303 0.8033 0.9071 0.6425</t>
  </si>
  <si>
    <t>YOLO11s_baseline_augment 0.8808 0.8911 0.9314 0.6293 0.9051 0.8149 0.9412 0.6504</t>
  </si>
  <si>
    <t>YOLO11s_baseline_augment_strong 0.9140 0.8774 0.9274 0.6394 0.8595 0.8992 0.9426 0.6624</t>
  </si>
  <si>
    <t>YOLO11s_tune 0.9208 0.8504 0.9248 0.6356 0.8890 0.8424 0.9258 0.6357</t>
  </si>
  <si>
    <t>YOLO11s_BestLR_AugRecommended</t>
  </si>
  <si>
    <t>YOLO11s_Tune</t>
  </si>
  <si>
    <t>YOLO11s_lr_augment 0.9130 0.8856 0.9330 0.6319 0.8988 0.8684 0.9386 0.6701</t>
  </si>
  <si>
    <t>YOLO11s_lr_str_augment 0.9166 0.8512 0.9129 0.6180 0.8847 0.8667 0.9254 0.6558</t>
  </si>
  <si>
    <t>AUGMENTATION</t>
  </si>
  <si>
    <t>YOLO11s_BestLR_AugStrong</t>
  </si>
  <si>
    <t>AUGMENTATION AND BEST LR vs AUTOMATIC TUNING</t>
  </si>
  <si>
    <t>F1-Score Validation</t>
  </si>
  <si>
    <t>YOLO11s_BaseLR (LR:0.001)</t>
  </si>
  <si>
    <t>YOLO11s_BaseLR_Recommended</t>
  </si>
  <si>
    <t>YOLO11s_BaseLR_Augment_Strong</t>
  </si>
  <si>
    <t>YOLOv8s 0.9129 0.8564 0.9174 0.6190 0.9188 0.8008 0.9092 0.6366</t>
  </si>
  <si>
    <t xml:space="preserve">PERCOBAAN AWAL </t>
  </si>
  <si>
    <t>Tidak tahu bahwa Validation Set hanya Randomized Subset dari Train Set jadi ini terjadi data leakage</t>
  </si>
  <si>
    <t>YOLOv8s_Same_Parameter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</si>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</sst>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21B8-2760-4878-B077-02DE71C37975}">
  <dimension ref="B2:L37"/>
  <sheetViews>
    <sheetView topLeftCell="A16" workbookViewId="0">
      <selection activeCell="F13" sqref="F13"/>
    </sheetView>
  </sheetViews>
  <sheetFormatPr defaultRowHeight="14.4" x14ac:dyDescent="0.3"/>
  <cols>
    <col min="2" max="2" width="33.109375" customWidth="1"/>
    <col min="3" max="10" width="10.77734375" customWidth="1"/>
    <col min="11" max="11" width="15.6640625" customWidth="1"/>
  </cols>
  <sheetData>
    <row r="2" spans="2:12" ht="15" customHeight="1" x14ac:dyDescent="0.3">
      <c r="B2" t="s">
        <v>160</v>
      </c>
    </row>
    <row r="3" spans="2:12" ht="15" customHeight="1" x14ac:dyDescent="0.3">
      <c r="B3" t="s">
        <v>161</v>
      </c>
    </row>
    <row r="4" spans="2:12" ht="15" customHeight="1" x14ac:dyDescent="0.3"/>
    <row r="5" spans="2:12" x14ac:dyDescent="0.3">
      <c r="B5" t="s">
        <v>0</v>
      </c>
    </row>
    <row r="6" spans="2:12" x14ac:dyDescent="0.3">
      <c r="B6" s="10" t="s">
        <v>45</v>
      </c>
      <c r="C6" s="11" t="s">
        <v>2</v>
      </c>
      <c r="D6" s="11"/>
      <c r="E6" s="11"/>
      <c r="F6" s="11"/>
      <c r="G6" s="11" t="s">
        <v>3</v>
      </c>
      <c r="H6" s="11"/>
      <c r="I6" s="11"/>
      <c r="J6" s="11"/>
    </row>
    <row r="7" spans="2:12" x14ac:dyDescent="0.3">
      <c r="B7" s="10"/>
      <c r="C7" s="1" t="s">
        <v>4</v>
      </c>
      <c r="D7" s="1" t="s">
        <v>5</v>
      </c>
      <c r="E7" s="1" t="s">
        <v>6</v>
      </c>
      <c r="F7" s="1" t="s">
        <v>7</v>
      </c>
      <c r="G7" s="1" t="s">
        <v>4</v>
      </c>
      <c r="H7" s="1" t="s">
        <v>5</v>
      </c>
      <c r="I7" s="1" t="s">
        <v>6</v>
      </c>
      <c r="J7" s="1" t="s">
        <v>7</v>
      </c>
    </row>
    <row r="8" spans="2:12" x14ac:dyDescent="0.3">
      <c r="B8" s="2" t="s">
        <v>1</v>
      </c>
      <c r="C8" s="2" t="s">
        <v>9</v>
      </c>
      <c r="D8" s="2" t="s">
        <v>11</v>
      </c>
      <c r="E8" s="2" t="s">
        <v>10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</row>
    <row r="9" spans="2:12" x14ac:dyDescent="0.3">
      <c r="B9" s="2" t="s">
        <v>8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L9" t="s">
        <v>49</v>
      </c>
    </row>
    <row r="10" spans="2:12" x14ac:dyDescent="0.3">
      <c r="B10" s="2" t="s">
        <v>25</v>
      </c>
      <c r="C10" s="2" t="s">
        <v>29</v>
      </c>
      <c r="D10" s="2" t="s">
        <v>28</v>
      </c>
      <c r="E10" s="2" t="s">
        <v>26</v>
      </c>
      <c r="F10" s="2" t="s">
        <v>27</v>
      </c>
      <c r="G10" s="2" t="s">
        <v>33</v>
      </c>
      <c r="H10" s="2" t="s">
        <v>32</v>
      </c>
      <c r="I10" s="2" t="s">
        <v>30</v>
      </c>
      <c r="J10" s="2" t="s">
        <v>31</v>
      </c>
    </row>
    <row r="11" spans="2:12" x14ac:dyDescent="0.3">
      <c r="B11" s="2" t="s">
        <v>43</v>
      </c>
      <c r="C11" s="2"/>
      <c r="D11" s="2"/>
      <c r="E11" s="2" t="s">
        <v>48</v>
      </c>
      <c r="F11" s="2"/>
      <c r="G11" s="2"/>
      <c r="H11" s="2"/>
      <c r="I11" s="2"/>
      <c r="J11" s="2"/>
      <c r="L11" s="2" t="s">
        <v>44</v>
      </c>
    </row>
    <row r="12" spans="2:12" x14ac:dyDescent="0.3">
      <c r="B12" s="2" t="s">
        <v>34</v>
      </c>
      <c r="C12" s="2" t="s">
        <v>38</v>
      </c>
      <c r="D12" s="2" t="s">
        <v>37</v>
      </c>
      <c r="E12" s="2" t="s">
        <v>35</v>
      </c>
      <c r="F12" s="2" t="s">
        <v>36</v>
      </c>
      <c r="G12" s="2" t="s">
        <v>42</v>
      </c>
      <c r="H12" s="2" t="s">
        <v>41</v>
      </c>
      <c r="I12" s="2" t="s">
        <v>39</v>
      </c>
      <c r="J12" s="2" t="s">
        <v>40</v>
      </c>
    </row>
    <row r="13" spans="2:12" x14ac:dyDescent="0.3">
      <c r="B13" s="2"/>
      <c r="C13" s="2"/>
      <c r="D13" s="2"/>
      <c r="E13" s="2"/>
      <c r="F13" s="2"/>
      <c r="G13" s="2"/>
      <c r="H13" s="2"/>
      <c r="I13" s="2"/>
      <c r="J13" s="2"/>
    </row>
    <row r="14" spans="2:12" x14ac:dyDescent="0.3">
      <c r="B14" s="2" t="s">
        <v>47</v>
      </c>
      <c r="C14" s="2"/>
      <c r="D14" s="2"/>
      <c r="E14" s="2"/>
      <c r="F14" s="2"/>
      <c r="G14" s="2"/>
      <c r="H14" s="2"/>
      <c r="I14" s="2"/>
      <c r="J14" s="2"/>
      <c r="L14" s="2" t="s">
        <v>46</v>
      </c>
    </row>
    <row r="16" spans="2:12" x14ac:dyDescent="0.3">
      <c r="B16" t="s">
        <v>0</v>
      </c>
    </row>
    <row r="17" spans="2:12" x14ac:dyDescent="0.3">
      <c r="B17" s="10" t="s">
        <v>45</v>
      </c>
      <c r="C17" s="11" t="s">
        <v>2</v>
      </c>
      <c r="D17" s="11"/>
      <c r="E17" s="11"/>
      <c r="F17" s="11"/>
      <c r="G17" s="11" t="s">
        <v>3</v>
      </c>
      <c r="H17" s="11"/>
      <c r="I17" s="11"/>
      <c r="J17" s="11"/>
    </row>
    <row r="18" spans="2:12" x14ac:dyDescent="0.3">
      <c r="B18" s="10"/>
      <c r="C18" s="1" t="s">
        <v>4</v>
      </c>
      <c r="D18" s="1" t="s">
        <v>5</v>
      </c>
      <c r="E18" s="1" t="s">
        <v>6</v>
      </c>
      <c r="F18" s="1" t="s">
        <v>7</v>
      </c>
      <c r="G18" s="1" t="s">
        <v>4</v>
      </c>
      <c r="H18" s="1" t="s">
        <v>5</v>
      </c>
      <c r="I18" s="1" t="s">
        <v>6</v>
      </c>
      <c r="J18" s="1" t="s">
        <v>7</v>
      </c>
    </row>
    <row r="19" spans="2:12" x14ac:dyDescent="0.3">
      <c r="B19" s="2" t="s">
        <v>58</v>
      </c>
      <c r="C19" s="3" t="s">
        <v>50</v>
      </c>
      <c r="D19" s="2" t="s">
        <v>51</v>
      </c>
      <c r="E19" s="2" t="s">
        <v>52</v>
      </c>
      <c r="F19" s="2" t="s">
        <v>53</v>
      </c>
      <c r="G19" s="2" t="s">
        <v>54</v>
      </c>
      <c r="H19" s="2" t="s">
        <v>55</v>
      </c>
      <c r="I19" s="2" t="s">
        <v>56</v>
      </c>
      <c r="J19" s="2" t="s">
        <v>57</v>
      </c>
      <c r="K19">
        <f>(2*G19*H19)/(G19+H19)</f>
        <v>0.88246389219183508</v>
      </c>
      <c r="L19" t="s">
        <v>62</v>
      </c>
    </row>
    <row r="20" spans="2:12" x14ac:dyDescent="0.3">
      <c r="B20" s="3" t="s">
        <v>60</v>
      </c>
      <c r="C20" s="2" t="s">
        <v>63</v>
      </c>
      <c r="D20" s="3" t="s">
        <v>64</v>
      </c>
      <c r="E20" s="3" t="s">
        <v>65</v>
      </c>
      <c r="F20" s="3" t="s">
        <v>66</v>
      </c>
      <c r="G20" s="2" t="s">
        <v>67</v>
      </c>
      <c r="H20" s="2" t="s">
        <v>68</v>
      </c>
      <c r="I20" s="3" t="s">
        <v>69</v>
      </c>
      <c r="J20" s="3" t="s">
        <v>70</v>
      </c>
      <c r="K20">
        <f t="shared" ref="K20:K37" si="0">(2*G20*H20)/(G20+H20)</f>
        <v>0.88714997463788536</v>
      </c>
      <c r="L20" t="s">
        <v>61</v>
      </c>
    </row>
    <row r="21" spans="2:12" x14ac:dyDescent="0.3">
      <c r="B21" s="2" t="s">
        <v>59</v>
      </c>
      <c r="C21" s="2" t="s">
        <v>72</v>
      </c>
      <c r="D21" s="2" t="s">
        <v>73</v>
      </c>
      <c r="E21" s="2" t="s">
        <v>74</v>
      </c>
      <c r="F21" s="2" t="s">
        <v>75</v>
      </c>
      <c r="G21" s="2" t="s">
        <v>76</v>
      </c>
      <c r="H21" s="2" t="s">
        <v>77</v>
      </c>
      <c r="I21" s="2" t="s">
        <v>78</v>
      </c>
      <c r="J21" s="2" t="s">
        <v>79</v>
      </c>
      <c r="K21">
        <f t="shared" si="0"/>
        <v>0.89368298086606257</v>
      </c>
      <c r="L21" t="s">
        <v>71</v>
      </c>
    </row>
    <row r="22" spans="2:12" x14ac:dyDescent="0.3">
      <c r="B22" s="2" t="s">
        <v>132</v>
      </c>
      <c r="C22" s="2" t="s">
        <v>131</v>
      </c>
      <c r="D22" s="2" t="s">
        <v>130</v>
      </c>
      <c r="E22" s="2" t="s">
        <v>129</v>
      </c>
      <c r="F22" s="2" t="s">
        <v>128</v>
      </c>
      <c r="G22" s="2" t="s">
        <v>137</v>
      </c>
      <c r="H22" s="2" t="s">
        <v>136</v>
      </c>
      <c r="I22" s="2" t="s">
        <v>135</v>
      </c>
      <c r="J22" s="2" t="s">
        <v>134</v>
      </c>
      <c r="K22">
        <f t="shared" si="0"/>
        <v>0.89118780433075284</v>
      </c>
      <c r="L22" t="s">
        <v>133</v>
      </c>
    </row>
    <row r="23" spans="2:12" x14ac:dyDescent="0.3">
      <c r="B23" s="2" t="s">
        <v>102</v>
      </c>
      <c r="C23" s="2" t="s">
        <v>96</v>
      </c>
      <c r="D23" s="2" t="s">
        <v>90</v>
      </c>
      <c r="E23" s="2" t="s">
        <v>95</v>
      </c>
      <c r="F23" s="2" t="s">
        <v>93</v>
      </c>
      <c r="G23" s="3" t="s">
        <v>112</v>
      </c>
      <c r="H23" s="2" t="s">
        <v>113</v>
      </c>
      <c r="I23" s="2" t="s">
        <v>114</v>
      </c>
      <c r="J23" s="2" t="s">
        <v>115</v>
      </c>
      <c r="K23">
        <f t="shared" si="0"/>
        <v>0.87970265265549563</v>
      </c>
      <c r="L23" t="s">
        <v>86</v>
      </c>
    </row>
    <row r="24" spans="2:12" x14ac:dyDescent="0.3">
      <c r="B24" s="2" t="s">
        <v>103</v>
      </c>
      <c r="C24" s="2" t="s">
        <v>97</v>
      </c>
      <c r="D24" s="2" t="s">
        <v>98</v>
      </c>
      <c r="E24" s="2" t="s">
        <v>92</v>
      </c>
      <c r="F24" s="2" t="s">
        <v>94</v>
      </c>
      <c r="G24" s="2" t="s">
        <v>116</v>
      </c>
      <c r="H24" s="3" t="s">
        <v>117</v>
      </c>
      <c r="I24" s="2" t="s">
        <v>118</v>
      </c>
      <c r="J24" s="2" t="s">
        <v>119</v>
      </c>
      <c r="K24">
        <f t="shared" si="0"/>
        <v>0.90021573482871586</v>
      </c>
      <c r="L24" t="s">
        <v>99</v>
      </c>
    </row>
    <row r="25" spans="2:12" x14ac:dyDescent="0.3">
      <c r="B25" s="2" t="s">
        <v>120</v>
      </c>
      <c r="C25" s="2" t="s">
        <v>104</v>
      </c>
      <c r="D25" s="2" t="s">
        <v>105</v>
      </c>
      <c r="E25" s="2" t="s">
        <v>106</v>
      </c>
      <c r="F25" s="2" t="s">
        <v>107</v>
      </c>
      <c r="G25" s="2" t="s">
        <v>108</v>
      </c>
      <c r="H25" s="2" t="s">
        <v>109</v>
      </c>
      <c r="I25" s="2" t="s">
        <v>110</v>
      </c>
      <c r="J25" s="2" t="s">
        <v>111</v>
      </c>
      <c r="K25">
        <f t="shared" si="0"/>
        <v>0.89200616419165035</v>
      </c>
      <c r="L25" t="s">
        <v>101</v>
      </c>
    </row>
    <row r="27" spans="2:12" x14ac:dyDescent="0.3">
      <c r="B27" t="s">
        <v>122</v>
      </c>
    </row>
    <row r="28" spans="2:12" x14ac:dyDescent="0.3">
      <c r="B28" s="10" t="s">
        <v>45</v>
      </c>
      <c r="C28" s="11" t="s">
        <v>2</v>
      </c>
      <c r="D28" s="11"/>
      <c r="E28" s="11"/>
      <c r="F28" s="11"/>
      <c r="G28" s="11" t="s">
        <v>3</v>
      </c>
      <c r="H28" s="11"/>
      <c r="I28" s="11"/>
      <c r="J28" s="11"/>
    </row>
    <row r="29" spans="2:12" x14ac:dyDescent="0.3">
      <c r="B29" s="10"/>
      <c r="C29" s="1" t="s">
        <v>4</v>
      </c>
      <c r="D29" s="1" t="s">
        <v>5</v>
      </c>
      <c r="E29" s="1" t="s">
        <v>6</v>
      </c>
      <c r="F29" s="1" t="s">
        <v>7</v>
      </c>
      <c r="G29" s="1" t="s">
        <v>4</v>
      </c>
      <c r="H29" s="1" t="s">
        <v>5</v>
      </c>
      <c r="I29" s="1" t="s">
        <v>6</v>
      </c>
      <c r="J29" s="1" t="s">
        <v>7</v>
      </c>
    </row>
    <row r="30" spans="2:12" x14ac:dyDescent="0.3">
      <c r="B30" s="3" t="s">
        <v>60</v>
      </c>
      <c r="C30" s="2" t="s">
        <v>63</v>
      </c>
      <c r="D30" s="3" t="s">
        <v>64</v>
      </c>
      <c r="E30" s="3" t="s">
        <v>65</v>
      </c>
      <c r="F30" s="3" t="s">
        <v>66</v>
      </c>
      <c r="G30" s="2" t="s">
        <v>67</v>
      </c>
      <c r="H30" s="2" t="s">
        <v>68</v>
      </c>
      <c r="I30" s="3" t="s">
        <v>69</v>
      </c>
      <c r="J30" s="3" t="s">
        <v>70</v>
      </c>
      <c r="K30">
        <f t="shared" si="0"/>
        <v>0.88714997463788536</v>
      </c>
    </row>
    <row r="31" spans="2:12" x14ac:dyDescent="0.3">
      <c r="B31" s="2" t="s">
        <v>125</v>
      </c>
      <c r="C31" s="2" t="s">
        <v>123</v>
      </c>
      <c r="D31" s="2" t="s">
        <v>124</v>
      </c>
      <c r="E31" s="2"/>
      <c r="F31" s="2"/>
      <c r="G31" s="2">
        <v>0.94379999999999997</v>
      </c>
      <c r="H31" s="2">
        <v>0.8034</v>
      </c>
      <c r="I31" s="2"/>
      <c r="J31" s="2"/>
      <c r="K31">
        <f t="shared" si="0"/>
        <v>0.86795892857142865</v>
      </c>
      <c r="L31" t="s">
        <v>121</v>
      </c>
    </row>
    <row r="32" spans="2:12" x14ac:dyDescent="0.3">
      <c r="B32" s="2"/>
      <c r="C32" s="2"/>
      <c r="D32" s="2"/>
      <c r="E32" s="2"/>
      <c r="F32" s="2"/>
      <c r="G32" s="2">
        <v>0.89610000000000001</v>
      </c>
      <c r="H32" s="2">
        <v>0.8851</v>
      </c>
      <c r="I32" s="2"/>
      <c r="J32" s="2"/>
      <c r="K32">
        <f t="shared" si="0"/>
        <v>0.89056603413429147</v>
      </c>
      <c r="L32" t="s">
        <v>126</v>
      </c>
    </row>
    <row r="33" spans="2:12" x14ac:dyDescent="0.3">
      <c r="B33" s="2"/>
      <c r="C33" s="2"/>
      <c r="D33" s="2"/>
      <c r="E33" s="2"/>
      <c r="F33" s="2"/>
      <c r="G33" s="3">
        <v>0.86350000000000005</v>
      </c>
      <c r="H33" s="2">
        <v>0.87929999999999997</v>
      </c>
      <c r="I33" s="2"/>
      <c r="J33" s="2"/>
      <c r="K33">
        <f t="shared" si="0"/>
        <v>0.871328379619004</v>
      </c>
      <c r="L33" t="s">
        <v>127</v>
      </c>
    </row>
    <row r="34" spans="2:12" x14ac:dyDescent="0.3">
      <c r="B34" s="2"/>
      <c r="C34" s="2"/>
      <c r="D34" s="2"/>
      <c r="E34" s="2"/>
      <c r="F34" s="2"/>
      <c r="G34" s="2"/>
      <c r="H34" s="3"/>
      <c r="I34" s="2"/>
      <c r="J34" s="2"/>
      <c r="K34" t="e">
        <f t="shared" si="0"/>
        <v>#DIV/0!</v>
      </c>
    </row>
    <row r="35" spans="2:12" x14ac:dyDescent="0.3">
      <c r="B35" s="2"/>
      <c r="C35" s="2"/>
      <c r="D35" s="2"/>
      <c r="E35" s="2"/>
      <c r="F35" s="2"/>
      <c r="G35" s="2"/>
      <c r="H35" s="2"/>
      <c r="I35" s="2"/>
      <c r="J35" s="2"/>
      <c r="K35" t="e">
        <f t="shared" si="0"/>
        <v>#DIV/0!</v>
      </c>
    </row>
    <row r="36" spans="2:12" x14ac:dyDescent="0.3">
      <c r="K36" t="e">
        <f t="shared" si="0"/>
        <v>#DIV/0!</v>
      </c>
      <c r="L36" t="s">
        <v>138</v>
      </c>
    </row>
    <row r="37" spans="2:12" x14ac:dyDescent="0.3">
      <c r="G37">
        <v>0.91200000000000003</v>
      </c>
      <c r="H37">
        <v>0.88060000000000005</v>
      </c>
      <c r="K37">
        <f t="shared" si="0"/>
        <v>0.8960249916322659</v>
      </c>
      <c r="L37" t="s">
        <v>139</v>
      </c>
    </row>
  </sheetData>
  <mergeCells count="9">
    <mergeCell ref="B28:B29"/>
    <mergeCell ref="C28:F28"/>
    <mergeCell ref="G28:J28"/>
    <mergeCell ref="C6:F6"/>
    <mergeCell ref="G6:J6"/>
    <mergeCell ref="B6:B7"/>
    <mergeCell ref="B17:B18"/>
    <mergeCell ref="C17:F17"/>
    <mergeCell ref="G17:J1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4F6C-A02B-40F6-BA97-647E2614B80C}">
  <dimension ref="B2:M23"/>
  <sheetViews>
    <sheetView tabSelected="1" workbookViewId="0">
      <selection activeCell="O3" sqref="O3"/>
    </sheetView>
  </sheetViews>
  <sheetFormatPr defaultRowHeight="14.4" x14ac:dyDescent="0.3"/>
  <cols>
    <col min="2" max="2" width="33.109375" customWidth="1"/>
    <col min="3" max="10" width="10.77734375" customWidth="1"/>
    <col min="11" max="11" width="21.44140625" customWidth="1"/>
  </cols>
  <sheetData>
    <row r="2" spans="2:13" x14ac:dyDescent="0.3">
      <c r="B2" s="9" t="s">
        <v>0</v>
      </c>
    </row>
    <row r="3" spans="2:13" x14ac:dyDescent="0.3">
      <c r="B3" s="10" t="s">
        <v>45</v>
      </c>
      <c r="C3" s="11" t="s">
        <v>2</v>
      </c>
      <c r="D3" s="11"/>
      <c r="E3" s="11"/>
      <c r="F3" s="11"/>
      <c r="G3" s="11" t="s">
        <v>3</v>
      </c>
      <c r="H3" s="11"/>
      <c r="I3" s="11"/>
      <c r="J3" s="11"/>
    </row>
    <row r="4" spans="2:13" x14ac:dyDescent="0.3">
      <c r="B4" s="10"/>
      <c r="C4" s="1" t="s">
        <v>4</v>
      </c>
      <c r="D4" s="1" t="s">
        <v>5</v>
      </c>
      <c r="E4" s="1" t="s">
        <v>6</v>
      </c>
      <c r="F4" s="1" t="s">
        <v>7</v>
      </c>
      <c r="G4" s="1" t="s">
        <v>4</v>
      </c>
      <c r="H4" s="1" t="s">
        <v>5</v>
      </c>
      <c r="I4" s="1" t="s">
        <v>6</v>
      </c>
      <c r="J4" s="7" t="s">
        <v>7</v>
      </c>
      <c r="K4" s="8" t="s">
        <v>155</v>
      </c>
    </row>
    <row r="5" spans="2:13" x14ac:dyDescent="0.3">
      <c r="B5" s="15" t="s">
        <v>80</v>
      </c>
      <c r="C5" s="16"/>
      <c r="D5" s="16"/>
      <c r="E5" s="16"/>
      <c r="F5" s="16"/>
      <c r="G5" s="16"/>
      <c r="H5" s="16"/>
      <c r="I5" s="16"/>
      <c r="J5" s="17"/>
    </row>
    <row r="6" spans="2:13" x14ac:dyDescent="0.3">
      <c r="B6" s="2" t="s">
        <v>140</v>
      </c>
      <c r="C6" s="2">
        <v>0.88849999999999996</v>
      </c>
      <c r="D6" s="2">
        <v>0.88200000000000001</v>
      </c>
      <c r="E6" s="3">
        <v>0.92849999999999999</v>
      </c>
      <c r="F6" s="2">
        <v>0.61609999999999998</v>
      </c>
      <c r="G6" s="2">
        <v>0.83789999999999998</v>
      </c>
      <c r="H6" s="2">
        <v>0.89090000000000003</v>
      </c>
      <c r="I6" s="2">
        <v>0.91579999999999995</v>
      </c>
      <c r="J6" s="2">
        <v>0.62050000000000005</v>
      </c>
      <c r="K6">
        <f t="shared" ref="K6:K13" si="0">(2*C6*D6)/(C6+D6)</f>
        <v>0.88523806834227614</v>
      </c>
      <c r="L6">
        <f>AVERAGE(C6:F6)</f>
        <v>0.82877499999999993</v>
      </c>
      <c r="M6" t="s">
        <v>141</v>
      </c>
    </row>
    <row r="7" spans="2:13" x14ac:dyDescent="0.3">
      <c r="B7" s="2" t="s">
        <v>60</v>
      </c>
      <c r="C7" s="2">
        <v>0.85750000000000004</v>
      </c>
      <c r="D7" s="3">
        <v>0.8921</v>
      </c>
      <c r="E7" s="2">
        <v>0.92330000000000001</v>
      </c>
      <c r="F7" s="2">
        <v>0.62009999999999998</v>
      </c>
      <c r="G7" s="2">
        <v>0.88529999999999998</v>
      </c>
      <c r="H7" s="2">
        <v>0.82840000000000003</v>
      </c>
      <c r="I7" s="2">
        <v>0.90105999999999997</v>
      </c>
      <c r="J7" s="2">
        <v>0.63649999999999995</v>
      </c>
      <c r="K7">
        <f t="shared" si="0"/>
        <v>0.87445787608596259</v>
      </c>
      <c r="L7">
        <f t="shared" ref="L7:L12" si="1">AVERAGE(C7:F7)</f>
        <v>0.82325000000000004</v>
      </c>
      <c r="M7" t="s">
        <v>142</v>
      </c>
    </row>
    <row r="8" spans="2:13" x14ac:dyDescent="0.3">
      <c r="B8" s="2" t="s">
        <v>59</v>
      </c>
      <c r="C8" s="3">
        <v>0.92889999999999995</v>
      </c>
      <c r="D8" s="2">
        <v>0.85660000000000003</v>
      </c>
      <c r="E8" s="2">
        <v>0.92210000000000003</v>
      </c>
      <c r="F8" s="2">
        <v>0.63109999999999999</v>
      </c>
      <c r="G8" s="2">
        <v>0.87739999999999996</v>
      </c>
      <c r="H8" s="2">
        <v>0.86499999999999999</v>
      </c>
      <c r="I8" s="2">
        <v>0.91359999999999997</v>
      </c>
      <c r="J8" s="2">
        <v>0.65549999999999997</v>
      </c>
      <c r="K8">
        <f t="shared" si="0"/>
        <v>0.89128618314197705</v>
      </c>
      <c r="L8">
        <f t="shared" si="1"/>
        <v>0.83467499999999994</v>
      </c>
      <c r="M8" t="s">
        <v>143</v>
      </c>
    </row>
    <row r="9" spans="2:13" x14ac:dyDescent="0.3">
      <c r="B9" s="2" t="s">
        <v>132</v>
      </c>
      <c r="C9" s="2">
        <v>0.90620000000000001</v>
      </c>
      <c r="D9" s="2">
        <v>0.86299999999999999</v>
      </c>
      <c r="E9" s="2">
        <v>0.92210000000000003</v>
      </c>
      <c r="F9" s="3">
        <v>0.63439999999999996</v>
      </c>
      <c r="G9" s="2">
        <v>0.93030000000000002</v>
      </c>
      <c r="H9" s="2">
        <v>0.80330000000000001</v>
      </c>
      <c r="I9" s="2">
        <v>0.90710000000000002</v>
      </c>
      <c r="J9" s="2">
        <v>0.64249999999999996</v>
      </c>
      <c r="K9">
        <f t="shared" si="0"/>
        <v>0.88407257517522042</v>
      </c>
      <c r="L9">
        <f t="shared" si="1"/>
        <v>0.83142499999999997</v>
      </c>
      <c r="M9" t="s">
        <v>144</v>
      </c>
    </row>
    <row r="10" spans="2:13" x14ac:dyDescent="0.3">
      <c r="B10" s="12" t="s">
        <v>152</v>
      </c>
      <c r="C10" s="13"/>
      <c r="D10" s="13"/>
      <c r="E10" s="13"/>
      <c r="F10" s="13"/>
      <c r="G10" s="13"/>
      <c r="H10" s="13"/>
      <c r="I10" s="13"/>
      <c r="J10" s="14"/>
    </row>
    <row r="11" spans="2:13" x14ac:dyDescent="0.3">
      <c r="B11" s="2" t="s">
        <v>156</v>
      </c>
      <c r="C11" s="2">
        <v>0.88849999999999996</v>
      </c>
      <c r="D11" s="2">
        <v>0.88200000000000001</v>
      </c>
      <c r="E11" s="2">
        <v>0.92849999999999999</v>
      </c>
      <c r="F11" s="2">
        <v>0.61609999999999998</v>
      </c>
      <c r="G11" s="2">
        <v>0.83789999999999998</v>
      </c>
      <c r="H11" s="2">
        <v>0.89090000000000003</v>
      </c>
      <c r="I11" s="2">
        <v>0.91579999999999995</v>
      </c>
      <c r="J11" s="2">
        <v>0.62050000000000005</v>
      </c>
      <c r="K11">
        <f t="shared" si="0"/>
        <v>0.88523806834227614</v>
      </c>
      <c r="L11">
        <f>AVERAGE(C11:F11)</f>
        <v>0.82877499999999993</v>
      </c>
      <c r="M11" t="s">
        <v>141</v>
      </c>
    </row>
    <row r="12" spans="2:13" x14ac:dyDescent="0.3">
      <c r="B12" s="2" t="s">
        <v>157</v>
      </c>
      <c r="C12" s="2">
        <v>0.88080000000000003</v>
      </c>
      <c r="D12" s="3">
        <v>0.8911</v>
      </c>
      <c r="E12" s="3">
        <v>0.93140000000000001</v>
      </c>
      <c r="F12" s="2">
        <v>0.62929999999999997</v>
      </c>
      <c r="G12" s="2">
        <v>0.90510000000000002</v>
      </c>
      <c r="H12" s="2">
        <v>0.81489999999999996</v>
      </c>
      <c r="I12" s="2">
        <v>0.94120000000000004</v>
      </c>
      <c r="J12" s="2">
        <v>0.65039999999999998</v>
      </c>
      <c r="K12">
        <f t="shared" si="0"/>
        <v>0.88592006320898464</v>
      </c>
      <c r="L12">
        <f t="shared" si="1"/>
        <v>0.83315000000000006</v>
      </c>
      <c r="M12" t="s">
        <v>145</v>
      </c>
    </row>
    <row r="13" spans="2:13" x14ac:dyDescent="0.3">
      <c r="B13" s="2" t="s">
        <v>158</v>
      </c>
      <c r="C13" s="3">
        <v>0.91400000000000003</v>
      </c>
      <c r="D13" s="2">
        <v>0.87739999999999996</v>
      </c>
      <c r="E13" s="2">
        <v>0.9274</v>
      </c>
      <c r="F13" s="3">
        <v>0.63939999999999997</v>
      </c>
      <c r="G13" s="2">
        <v>0.85950000000000004</v>
      </c>
      <c r="H13" s="2">
        <v>0.88919999999999999</v>
      </c>
      <c r="I13" s="2">
        <v>0.94259999999999999</v>
      </c>
      <c r="J13" s="2">
        <v>0.66239999999999999</v>
      </c>
      <c r="K13">
        <f t="shared" si="0"/>
        <v>0.89532611365412529</v>
      </c>
      <c r="M13" t="s">
        <v>146</v>
      </c>
    </row>
    <row r="14" spans="2:13" x14ac:dyDescent="0.3">
      <c r="B14" s="12" t="s">
        <v>154</v>
      </c>
      <c r="C14" s="13"/>
      <c r="D14" s="13"/>
      <c r="E14" s="13"/>
      <c r="F14" s="13"/>
      <c r="G14" s="13"/>
      <c r="H14" s="13"/>
      <c r="I14" s="13"/>
      <c r="J14" s="14"/>
    </row>
    <row r="15" spans="2:13" x14ac:dyDescent="0.3">
      <c r="B15" s="2" t="s">
        <v>149</v>
      </c>
      <c r="C15" s="3">
        <v>0.92079999999999995</v>
      </c>
      <c r="D15" s="2">
        <v>0.85040000000000004</v>
      </c>
      <c r="E15" s="2">
        <v>0.92479999999999996</v>
      </c>
      <c r="F15" s="3">
        <v>0.63560000000000005</v>
      </c>
      <c r="G15" s="2">
        <v>0.88900000000000001</v>
      </c>
      <c r="H15" s="2">
        <v>0.84240000000000004</v>
      </c>
      <c r="I15" s="2">
        <v>0.92579999999999996</v>
      </c>
      <c r="J15" s="2">
        <v>0.63570000000000004</v>
      </c>
      <c r="K15">
        <f>(2*C15*D15)/(C15+D15)</f>
        <v>0.88420090334236678</v>
      </c>
      <c r="M15" t="s">
        <v>147</v>
      </c>
    </row>
    <row r="16" spans="2:13" x14ac:dyDescent="0.3">
      <c r="B16" s="3" t="s">
        <v>148</v>
      </c>
      <c r="C16" s="2">
        <v>0.91300000000000003</v>
      </c>
      <c r="D16" s="3">
        <v>0.88560000000000005</v>
      </c>
      <c r="E16" s="3">
        <v>0.93300000000000005</v>
      </c>
      <c r="F16" s="2">
        <v>0.63190000000000002</v>
      </c>
      <c r="G16" s="3">
        <v>0.89880000000000004</v>
      </c>
      <c r="H16" s="3">
        <v>0.86839999999999995</v>
      </c>
      <c r="I16" s="3">
        <v>0.93859999999999999</v>
      </c>
      <c r="J16" s="3">
        <v>0.67010000000000003</v>
      </c>
      <c r="K16">
        <f t="shared" ref="K16:K23" si="2">(2*C16*D16)/(C16+D16)</f>
        <v>0.89909129322806636</v>
      </c>
      <c r="M16" t="s">
        <v>150</v>
      </c>
    </row>
    <row r="17" spans="2:13" x14ac:dyDescent="0.3">
      <c r="B17" s="2" t="s">
        <v>153</v>
      </c>
      <c r="C17" s="2">
        <v>0.91659999999999997</v>
      </c>
      <c r="D17" s="2">
        <v>0.85119999999999996</v>
      </c>
      <c r="E17" s="2">
        <v>0.91290000000000004</v>
      </c>
      <c r="F17" s="2">
        <v>0.61799999999999999</v>
      </c>
      <c r="G17" s="2">
        <v>0.88470000000000004</v>
      </c>
      <c r="H17" s="2">
        <v>0.86670000000000003</v>
      </c>
      <c r="I17" s="2">
        <v>0.9254</v>
      </c>
      <c r="J17" s="2">
        <v>0.65580000000000005</v>
      </c>
      <c r="K17">
        <f t="shared" si="2"/>
        <v>0.88269025907908127</v>
      </c>
      <c r="M17" t="s">
        <v>151</v>
      </c>
    </row>
    <row r="18" spans="2:13" x14ac:dyDescent="0.3">
      <c r="M18" t="s">
        <v>159</v>
      </c>
    </row>
    <row r="19" spans="2:13" x14ac:dyDescent="0.3">
      <c r="B19" s="9" t="s">
        <v>163</v>
      </c>
    </row>
    <row r="20" spans="2:13" x14ac:dyDescent="0.3">
      <c r="B20" s="10" t="s">
        <v>45</v>
      </c>
      <c r="C20" s="11" t="s">
        <v>2</v>
      </c>
      <c r="D20" s="11"/>
      <c r="E20" s="11"/>
      <c r="F20" s="11"/>
      <c r="G20" s="11" t="s">
        <v>3</v>
      </c>
      <c r="H20" s="11"/>
      <c r="I20" s="11"/>
      <c r="J20" s="11"/>
    </row>
    <row r="21" spans="2:13" x14ac:dyDescent="0.3">
      <c r="B21" s="10"/>
      <c r="C21" s="1" t="s">
        <v>4</v>
      </c>
      <c r="D21" s="1" t="s">
        <v>5</v>
      </c>
      <c r="E21" s="1" t="s">
        <v>6</v>
      </c>
      <c r="F21" s="1" t="s">
        <v>7</v>
      </c>
      <c r="G21" s="1" t="s">
        <v>4</v>
      </c>
      <c r="H21" s="1" t="s">
        <v>5</v>
      </c>
      <c r="I21" s="1" t="s">
        <v>6</v>
      </c>
      <c r="J21" s="1" t="s">
        <v>7</v>
      </c>
    </row>
    <row r="22" spans="2:13" x14ac:dyDescent="0.3">
      <c r="B22" s="3" t="s">
        <v>148</v>
      </c>
      <c r="C22" s="3">
        <v>0.91300000000000003</v>
      </c>
      <c r="D22" s="3">
        <v>0.88560000000000005</v>
      </c>
      <c r="E22" s="3">
        <v>0.93300000000000005</v>
      </c>
      <c r="F22" s="3">
        <v>0.63190000000000002</v>
      </c>
      <c r="G22" s="2">
        <v>0.89880000000000004</v>
      </c>
      <c r="H22" s="3">
        <v>0.86839999999999995</v>
      </c>
      <c r="I22" s="3">
        <v>0.93859999999999999</v>
      </c>
      <c r="J22" s="3">
        <v>0.67010000000000003</v>
      </c>
      <c r="K22">
        <f t="shared" si="2"/>
        <v>0.89909129322806636</v>
      </c>
    </row>
    <row r="23" spans="2:13" x14ac:dyDescent="0.3">
      <c r="B23" s="2" t="s">
        <v>162</v>
      </c>
      <c r="C23" s="2">
        <v>0.91290000000000004</v>
      </c>
      <c r="D23" s="2">
        <v>0.85640000000000005</v>
      </c>
      <c r="E23" s="2">
        <v>0.91739999999999999</v>
      </c>
      <c r="F23" s="2">
        <v>0.61899999999999999</v>
      </c>
      <c r="G23" s="3">
        <v>0.91879999999999995</v>
      </c>
      <c r="H23" s="2">
        <v>0.80079999999999996</v>
      </c>
      <c r="I23" s="2">
        <v>0.90920000000000001</v>
      </c>
      <c r="J23" s="2">
        <v>0.63660000000000005</v>
      </c>
      <c r="K23">
        <f t="shared" si="2"/>
        <v>0.88374787769174257</v>
      </c>
    </row>
  </sheetData>
  <mergeCells count="9">
    <mergeCell ref="B3:B4"/>
    <mergeCell ref="C3:F3"/>
    <mergeCell ref="G3:J3"/>
    <mergeCell ref="B14:J14"/>
    <mergeCell ref="B20:B21"/>
    <mergeCell ref="C20:F20"/>
    <mergeCell ref="G20:J20"/>
    <mergeCell ref="B10:J10"/>
    <mergeCell ref="B5:J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68F2-66C1-4EE2-8D82-A3CC12E9A114}">
  <dimension ref="B2:F11"/>
  <sheetViews>
    <sheetView workbookViewId="0">
      <selection activeCell="F14" sqref="F14"/>
    </sheetView>
  </sheetViews>
  <sheetFormatPr defaultRowHeight="14.4" x14ac:dyDescent="0.3"/>
  <cols>
    <col min="2" max="2" width="7.33203125" customWidth="1"/>
    <col min="6" max="6" width="13.5546875" customWidth="1"/>
  </cols>
  <sheetData>
    <row r="2" spans="2:6" x14ac:dyDescent="0.3">
      <c r="B2" t="s">
        <v>80</v>
      </c>
    </row>
    <row r="3" spans="2:6" x14ac:dyDescent="0.3">
      <c r="B3" s="4" t="s">
        <v>81</v>
      </c>
      <c r="C3" s="4" t="s">
        <v>5</v>
      </c>
      <c r="D3" s="4" t="s">
        <v>4</v>
      </c>
      <c r="E3" s="4" t="s">
        <v>6</v>
      </c>
      <c r="F3" s="4" t="s">
        <v>7</v>
      </c>
    </row>
    <row r="4" spans="2:6" x14ac:dyDescent="0.3">
      <c r="B4" s="6" t="s">
        <v>82</v>
      </c>
      <c r="C4" s="6" t="s">
        <v>51</v>
      </c>
      <c r="D4" s="5" t="s">
        <v>50</v>
      </c>
      <c r="E4" s="6" t="s">
        <v>52</v>
      </c>
      <c r="F4" s="6" t="s">
        <v>53</v>
      </c>
    </row>
    <row r="5" spans="2:6" x14ac:dyDescent="0.3">
      <c r="B5" s="5" t="s">
        <v>83</v>
      </c>
      <c r="C5" s="5" t="s">
        <v>64</v>
      </c>
      <c r="D5" s="6" t="s">
        <v>63</v>
      </c>
      <c r="E5" s="5" t="s">
        <v>65</v>
      </c>
      <c r="F5" s="5" t="s">
        <v>84</v>
      </c>
    </row>
    <row r="6" spans="2:6" x14ac:dyDescent="0.3">
      <c r="B6" s="6" t="s">
        <v>85</v>
      </c>
      <c r="C6" s="6" t="s">
        <v>73</v>
      </c>
      <c r="D6" s="6" t="s">
        <v>72</v>
      </c>
      <c r="E6" s="6" t="s">
        <v>74</v>
      </c>
      <c r="F6" s="6" t="s">
        <v>75</v>
      </c>
    </row>
    <row r="7" spans="2:6" x14ac:dyDescent="0.3">
      <c r="B7" t="s">
        <v>100</v>
      </c>
    </row>
    <row r="8" spans="2:6" x14ac:dyDescent="0.3">
      <c r="B8" s="4" t="s">
        <v>87</v>
      </c>
      <c r="C8" s="4" t="s">
        <v>5</v>
      </c>
      <c r="D8" s="4" t="s">
        <v>4</v>
      </c>
      <c r="E8" s="4" t="s">
        <v>6</v>
      </c>
      <c r="F8" s="4" t="s">
        <v>7</v>
      </c>
    </row>
    <row r="9" spans="2:6" x14ac:dyDescent="0.3">
      <c r="B9" s="6" t="s">
        <v>88</v>
      </c>
      <c r="C9" s="5" t="s">
        <v>64</v>
      </c>
      <c r="D9" s="6" t="s">
        <v>63</v>
      </c>
      <c r="E9" s="5" t="s">
        <v>65</v>
      </c>
      <c r="F9" s="5" t="s">
        <v>84</v>
      </c>
    </row>
    <row r="10" spans="2:6" x14ac:dyDescent="0.3">
      <c r="B10" s="6" t="s">
        <v>89</v>
      </c>
      <c r="C10" s="6" t="s">
        <v>90</v>
      </c>
      <c r="D10" s="6" t="s">
        <v>96</v>
      </c>
      <c r="E10" s="6" t="s">
        <v>95</v>
      </c>
      <c r="F10" s="6" t="s">
        <v>93</v>
      </c>
    </row>
    <row r="11" spans="2:6" x14ac:dyDescent="0.3">
      <c r="B11" s="6" t="s">
        <v>91</v>
      </c>
      <c r="C11" s="6" t="s">
        <v>98</v>
      </c>
      <c r="D11" s="5" t="s">
        <v>97</v>
      </c>
      <c r="E11" s="6" t="s">
        <v>92</v>
      </c>
      <c r="F11" s="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 Valid Leakage</vt:lpstr>
      <vt:lpstr>Final All Experiments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ARTHUR</dc:creator>
  <cp:lastModifiedBy>RICHARD ARTHUR</cp:lastModifiedBy>
  <dcterms:created xsi:type="dcterms:W3CDTF">2026-04-07T10:47:14Z</dcterms:created>
  <dcterms:modified xsi:type="dcterms:W3CDTF">2026-04-18T09:37:02Z</dcterms:modified>
</cp:coreProperties>
</file>